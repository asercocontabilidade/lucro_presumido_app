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Q04" sheetId="1" state="visible" r:id="rId3"/>
    <sheet name="Q05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D8" authorId="0">
      <text>
        <r>
          <rPr>
            <sz val="10"/>
            <rFont val="Arial"/>
            <family val="2"/>
          </rPr>
          <t xml:space="preserve">O acréscimo deverá ser aplicado proporcionalmente às receitas auferidas em cada atividade. (Art. 15; §1°; II e §6º)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12</xdr:colOff>
                <xdr:row>5</xdr:row>
                <xdr:rowOff>10</xdr:rowOff>
              </xdr:from>
              <xdr:to>
                <xdr:col>7</xdr:col>
                <xdr:colOff>68</xdr:colOff>
                <xdr:row>7</xdr:row>
                <xdr:rowOff>31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D9" authorId="0">
      <text>
        <r>
          <rPr>
            <sz val="10"/>
            <rFont val="Arial"/>
            <family val="2"/>
          </rPr>
          <t xml:space="preserve">O acréscimo deverá ser aplicado proporcionalmente às receitas auferidas em cada atividade. (Art. 15; §1°; II e §6º)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12</xdr:colOff>
                <xdr:row>7</xdr:row>
                <xdr:rowOff>8</xdr:rowOff>
              </xdr:from>
              <xdr:to>
                <xdr:col>7</xdr:col>
                <xdr:colOff>68</xdr:colOff>
                <xdr:row>10</xdr:row>
                <xdr:rowOff>2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(Art. 15, § 4º)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12</xdr:colOff>
                <xdr:row>27</xdr:row>
                <xdr:rowOff>8</xdr:rowOff>
              </xdr:from>
              <xdr:to>
                <xdr:col>6</xdr:col>
                <xdr:colOff>64</xdr:colOff>
                <xdr:row>32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<sst xmlns="http://schemas.openxmlformats.org/spreadsheetml/2006/main" count="96" uniqueCount="34">
  <si>
    <t xml:space="preserve">Cálculo do Lucro Presumido e do IRPJ</t>
  </si>
  <si>
    <t xml:space="preserve">Discriminação das Receitas</t>
  </si>
  <si>
    <t xml:space="preserve">Valor</t>
  </si>
  <si>
    <t xml:space="preserve">Proporção</t>
  </si>
  <si>
    <t xml:space="preserve">Parcela sem acréscimo</t>
  </si>
  <si>
    <t xml:space="preserve">Percentual aplicável</t>
  </si>
  <si>
    <t xml:space="preserve">Parcela com acréscimo</t>
  </si>
  <si>
    <t xml:space="preserve">Percentual com acréscimo </t>
  </si>
  <si>
    <t xml:space="preserve">Base de Cálculo</t>
  </si>
  <si>
    <t xml:space="preserve">Cálculo do IRPJ e Adicional</t>
  </si>
  <si>
    <t xml:space="preserve">Receitas sujeitas à alíquota de 1,6%:</t>
  </si>
  <si>
    <t xml:space="preserve">Base de Cálculo:</t>
  </si>
  <si>
    <t xml:space="preserve">Receitas sujeitas à alíquota de 8%:</t>
  </si>
  <si>
    <t xml:space="preserve">IRPJ (15%):</t>
  </si>
  <si>
    <t xml:space="preserve">Receitas sujeitas à alíquota de 16%:</t>
  </si>
  <si>
    <t xml:space="preserve">Adicional de IR (10%):</t>
  </si>
  <si>
    <t xml:space="preserve">Receitas sujeitas à alíquota de 32%:</t>
  </si>
  <si>
    <t xml:space="preserve">IRPJ + Adicional:</t>
  </si>
  <si>
    <t xml:space="preserve">Total da Receita Bruta do Trimestre:</t>
  </si>
  <si>
    <t xml:space="preserve">IRRF:</t>
  </si>
  <si>
    <t xml:space="preserve">Outras receitas:</t>
  </si>
  <si>
    <t xml:space="preserve">IRPJ + Adicional a recolher:</t>
  </si>
  <si>
    <t xml:space="preserve">Total:</t>
  </si>
  <si>
    <t xml:space="preserve">Limite proporcional aplicável no trimestre:</t>
  </si>
  <si>
    <t xml:space="preserve">Cálculo do Resultado Presumido e da CSL</t>
  </si>
  <si>
    <t xml:space="preserve">Cálculo da CSL</t>
  </si>
  <si>
    <t xml:space="preserve">Receitas sujeitas à alíquota de 12%:</t>
  </si>
  <si>
    <t xml:space="preserve">CSL (9%):</t>
  </si>
  <si>
    <t xml:space="preserve">CSL Retida na fonte:</t>
  </si>
  <si>
    <t xml:space="preserve">CSL a recolher:</t>
  </si>
  <si>
    <t xml:space="preserve">Prof. Francelio Cavalcante</t>
  </si>
  <si>
    <t xml:space="preserve">1° Trimestre</t>
  </si>
  <si>
    <t xml:space="preserve">Receita Bruta inferior ao limite proporcional:</t>
  </si>
  <si>
    <t xml:space="preserve">2° Trimestre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</si>
</sst>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0%"/>
    <numFmt numFmtId="167" formatCode="0.00%"/>
    <numFmt numFmtId="168" formatCode="0.0%"/>
    <numFmt numFmtId="169" formatCode="_-* #,##0.00_-;\-* #,##0.00_-;_-* \-??_-;_-@_-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70C0"/>
      <name val="Arial"/>
      <family val="2"/>
      <charset val="1"/>
    </font>
    <font>
      <b val="true"/>
      <sz val="10"/>
      <color rgb="FF0070C0"/>
      <name val="Arial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DEADA"/>
      </patternFill>
    </fill>
    <fill>
      <patternFill patternType="solid">
        <fgColor rgb="FFFDEADA"/>
        <bgColor rgb="FFFFFFFF"/>
      </patternFill>
    </fill>
    <fill>
      <patternFill patternType="solid">
        <fgColor rgb="FFE46C0A"/>
        <bgColor rgb="FFFF99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3" borderId="6" xfId="15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6" xfId="15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7" xfId="1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8" xfId="1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10" xfId="1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1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0" xfId="1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1" xfId="1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2" xfId="1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228600</xdr:colOff>
      <xdr:row>0</xdr:row>
      <xdr:rowOff>133200</xdr:rowOff>
    </xdr:from>
    <xdr:to>
      <xdr:col>1</xdr:col>
      <xdr:colOff>1745280</xdr:colOff>
      <xdr:row>3</xdr:row>
      <xdr:rowOff>39960</xdr:rowOff>
    </xdr:to>
    <xdr:pic>
      <xdr:nvPicPr>
        <xdr:cNvPr id="1" name="Imagem 1" descr="Resultado de imagem para ipog png"/>
        <xdr:cNvPicPr/>
      </xdr:nvPicPr>
      <xdr:blipFill>
        <a:blip r:embed="rId1"/>
        <a:stretch/>
      </xdr:blipFill>
      <xdr:spPr>
        <a:xfrm>
          <a:off x="309240" y="133200"/>
          <a:ext cx="1516680" cy="392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CC"/>
    <pageSetUpPr fitToPage="false"/>
  </sheetPr>
  <dimension ref="B2:L27"/>
  <sheetViews>
    <sheetView showFormulas="false" showGridLines="false" showRowColHeaders="true" showZeros="true" rightToLeft="false" tabSelected="false" showOutlineSymbols="true" defaultGridColor="true" view="normal" topLeftCell="A9" colorId="64" zoomScale="120" zoomScaleNormal="120" zoomScalePageLayoutView="100" workbookViewId="0">
      <selection pane="topLeft" activeCell="C28" activeCellId="0" sqref="C28"/>
    </sheetView>
  </sheetViews>
  <sheetFormatPr defaultColWidth="8.6875" defaultRowHeight="12.75" customHeight="false" zeroHeight="false" outlineLevelRow="0" outlineLevelCol="0"/>
  <cols>
    <col collapsed="false" customWidth="true" hidden="false" outlineLevel="0" max="1" min="1" style="1" width="1.14"/>
    <col collapsed="false" customWidth="true" hidden="false" outlineLevel="0" max="2" min="2" style="1" width="34.71"/>
    <col collapsed="false" customWidth="true" hidden="false" outlineLevel="0" max="3" min="3" style="1" width="14.15"/>
    <col collapsed="false" customWidth="true" hidden="false" outlineLevel="0" max="4" min="4" style="1" width="11.14"/>
    <col collapsed="false" customWidth="true" hidden="false" outlineLevel="0" max="5" min="5" style="2" width="13.7"/>
    <col collapsed="false" customWidth="true" hidden="false" outlineLevel="0" max="6" min="6" style="2" width="11.43"/>
    <col collapsed="false" customWidth="true" hidden="false" outlineLevel="0" max="7" min="7" style="1" width="14.15"/>
    <col collapsed="false" customWidth="true" hidden="false" outlineLevel="0" max="8" min="8" style="1" width="14.57"/>
    <col collapsed="false" customWidth="true" hidden="false" outlineLevel="0" max="9" min="9" style="1" width="16.14"/>
    <col collapsed="false" customWidth="true" hidden="false" outlineLevel="0" max="10" min="10" style="1" width="2.71"/>
    <col collapsed="false" customWidth="true" hidden="false" outlineLevel="0" max="11" min="11" style="1" width="25.42"/>
    <col collapsed="false" customWidth="true" hidden="false" outlineLevel="0" max="12" min="12" style="1" width="11.71"/>
  </cols>
  <sheetData>
    <row r="2" customFormat="false" ht="12.75" hidden="false" customHeight="false" outlineLevel="0" collapsed="false">
      <c r="C2" s="3"/>
    </row>
    <row r="3" customFormat="false" ht="12.75" hidden="false" customHeight="false" outlineLevel="0" collapsed="false">
      <c r="E3" s="3"/>
    </row>
    <row r="6" customFormat="false" ht="12.75" hidden="false" customHeight="false" outlineLevel="0" collapsed="false">
      <c r="B6" s="4" t="s">
        <v>0</v>
      </c>
    </row>
    <row r="7" customFormat="false" ht="12.75" hidden="false" customHeight="false" outlineLevel="0" collapsed="false">
      <c r="B7" s="5"/>
    </row>
    <row r="8" s="6" customFormat="true" ht="23.85" hidden="false" customHeight="false" outlineLevel="0" collapsed="false">
      <c r="B8" s="7" t="s">
        <v>1</v>
      </c>
      <c r="C8" s="8" t="s">
        <v>2</v>
      </c>
      <c r="D8" s="8" t="s">
        <v>3</v>
      </c>
      <c r="E8" s="9" t="s">
        <v>4</v>
      </c>
      <c r="F8" s="10" t="s">
        <v>5</v>
      </c>
      <c r="G8" s="11" t="s">
        <v>6</v>
      </c>
      <c r="H8" s="12" t="s">
        <v>7</v>
      </c>
      <c r="I8" s="13" t="s">
        <v>8</v>
      </c>
      <c r="K8" s="14" t="s">
        <v>9</v>
      </c>
      <c r="L8" s="14" t="s">
        <v>2</v>
      </c>
    </row>
    <row r="9" customFormat="false" ht="12.75" hidden="false" customHeight="false" outlineLevel="0" collapsed="false">
      <c r="B9" s="15" t="s">
        <v>10</v>
      </c>
      <c r="C9" s="16"/>
      <c r="D9" s="17" t="n">
        <f aca="false">C9/$C$13</f>
        <v>0</v>
      </c>
      <c r="E9" s="18" t="n">
        <f aca="false">IF($C$13&gt;$E$16,($E$16*D9),C9)</f>
        <v>0</v>
      </c>
      <c r="F9" s="19" t="n">
        <v>0.016</v>
      </c>
      <c r="G9" s="18" t="n">
        <f aca="false">IF(C13&gt;1250000,(C9-E9),0)</f>
        <v>0</v>
      </c>
      <c r="H9" s="19" t="n">
        <f aca="false">F9*1.1</f>
        <v>0.0176</v>
      </c>
      <c r="I9" s="20" t="n">
        <f aca="false">(E9*F9)+(G9*H9)</f>
        <v>0</v>
      </c>
      <c r="K9" s="21" t="s">
        <v>11</v>
      </c>
      <c r="L9" s="22" t="n">
        <f aca="false">I15</f>
        <v>192396.45888</v>
      </c>
    </row>
    <row r="10" customFormat="false" ht="12.75" hidden="false" customHeight="false" outlineLevel="0" collapsed="false">
      <c r="B10" s="15" t="s">
        <v>12</v>
      </c>
      <c r="C10" s="16" t="n">
        <v>2299959.76</v>
      </c>
      <c r="D10" s="17" t="n">
        <f aca="false">C10/$C$13</f>
        <v>1</v>
      </c>
      <c r="E10" s="18" t="n">
        <f aca="false">IF($C$13&gt;$E$16,($E$16*D10),C10)</f>
        <v>1250000</v>
      </c>
      <c r="F10" s="23" t="n">
        <v>0.08</v>
      </c>
      <c r="G10" s="18" t="n">
        <f aca="false">IF(C13&gt;1250000,(C10-E10),0)</f>
        <v>1049959.76</v>
      </c>
      <c r="H10" s="19" t="n">
        <f aca="false">F10*1.1</f>
        <v>0.088</v>
      </c>
      <c r="I10" s="20" t="n">
        <f aca="false">(E10*F10)+(G10*H10)</f>
        <v>192396.45888</v>
      </c>
      <c r="K10" s="1" t="s">
        <v>13</v>
      </c>
      <c r="L10" s="2" t="n">
        <f aca="false">L9*15%</f>
        <v>28859.468832</v>
      </c>
    </row>
    <row r="11" customFormat="false" ht="12.75" hidden="false" customHeight="false" outlineLevel="0" collapsed="false">
      <c r="B11" s="15" t="s">
        <v>14</v>
      </c>
      <c r="C11" s="16"/>
      <c r="D11" s="17" t="n">
        <f aca="false">C11/$C$13</f>
        <v>0</v>
      </c>
      <c r="E11" s="18" t="n">
        <f aca="false">IF($C$13&gt;$E$16,($E$16*D11),C11)</f>
        <v>0</v>
      </c>
      <c r="F11" s="23" t="n">
        <v>0.16</v>
      </c>
      <c r="G11" s="18" t="n">
        <f aca="false">IF(C13&gt;1250000,(C11-E11),0)</f>
        <v>0</v>
      </c>
      <c r="H11" s="19" t="n">
        <f aca="false">F11*1.1</f>
        <v>0.176</v>
      </c>
      <c r="I11" s="20" t="n">
        <f aca="false">(E11*F11)+(G11*H11)</f>
        <v>0</v>
      </c>
      <c r="K11" s="1" t="s">
        <v>15</v>
      </c>
      <c r="L11" s="2" t="n">
        <f aca="false">IF(L9&gt;60000,((L9-60000)*10%),0)</f>
        <v>13239.645888</v>
      </c>
    </row>
    <row r="12" customFormat="false" ht="12.75" hidden="false" customHeight="false" outlineLevel="0" collapsed="false">
      <c r="B12" s="15" t="s">
        <v>16</v>
      </c>
      <c r="C12" s="16" t="n">
        <v>0</v>
      </c>
      <c r="D12" s="17" t="n">
        <f aca="false">C12/$C$13</f>
        <v>0</v>
      </c>
      <c r="E12" s="18" t="n">
        <f aca="false">IF($C$13&gt;$E$16,($E$16*D12),C12)</f>
        <v>0</v>
      </c>
      <c r="F12" s="23" t="n">
        <v>0.32</v>
      </c>
      <c r="G12" s="18" t="n">
        <f aca="false">IF(C13&gt;1250000,(C12-E12),0)</f>
        <v>0</v>
      </c>
      <c r="H12" s="19" t="n">
        <f aca="false">F12*1.1</f>
        <v>0.352</v>
      </c>
      <c r="I12" s="20" t="n">
        <f aca="false">(E12*F12)+(G12*H12)</f>
        <v>0</v>
      </c>
      <c r="K12" s="5" t="s">
        <v>17</v>
      </c>
      <c r="L12" s="24" t="n">
        <f aca="false">L10+L11</f>
        <v>42099.11472</v>
      </c>
    </row>
    <row r="13" s="5" customFormat="true" ht="12.75" hidden="false" customHeight="false" outlineLevel="0" collapsed="false">
      <c r="B13" s="25" t="s">
        <v>18</v>
      </c>
      <c r="C13" s="26" t="n">
        <f aca="false">SUM(C9:C12)</f>
        <v>2299959.76</v>
      </c>
      <c r="D13" s="27" t="n">
        <f aca="false">SUM(D9:D12)</f>
        <v>1</v>
      </c>
      <c r="E13" s="26" t="n">
        <f aca="false">SUM(E9:E12)</f>
        <v>1250000</v>
      </c>
      <c r="F13" s="28"/>
      <c r="G13" s="29" t="n">
        <f aca="false">SUM(G9:G12)</f>
        <v>1049959.76</v>
      </c>
      <c r="H13" s="30"/>
      <c r="I13" s="31"/>
      <c r="K13" s="5" t="s">
        <v>19</v>
      </c>
      <c r="L13" s="32" t="n">
        <v>0</v>
      </c>
    </row>
    <row r="14" customFormat="false" ht="12.75" hidden="false" customHeight="false" outlineLevel="0" collapsed="false">
      <c r="B14" s="33" t="s">
        <v>20</v>
      </c>
      <c r="C14" s="34" t="n">
        <v>0</v>
      </c>
      <c r="D14" s="28"/>
      <c r="E14" s="28"/>
      <c r="F14" s="28"/>
      <c r="G14" s="28"/>
      <c r="H14" s="35"/>
      <c r="I14" s="36" t="n">
        <f aca="false">C14</f>
        <v>0</v>
      </c>
      <c r="K14" s="37" t="s">
        <v>21</v>
      </c>
      <c r="L14" s="38" t="n">
        <f aca="false">L12-L13</f>
        <v>42099.11472</v>
      </c>
    </row>
    <row r="15" s="5" customFormat="true" ht="12.75" hidden="false" customHeight="false" outlineLevel="0" collapsed="false">
      <c r="B15" s="39"/>
      <c r="C15" s="40"/>
      <c r="D15" s="40"/>
      <c r="E15" s="41"/>
      <c r="F15" s="41"/>
      <c r="G15" s="40"/>
      <c r="H15" s="42" t="s">
        <v>22</v>
      </c>
      <c r="I15" s="40" t="n">
        <f aca="false">SUM(I9:I14)</f>
        <v>192396.45888</v>
      </c>
      <c r="K15" s="39"/>
      <c r="L15" s="40"/>
    </row>
    <row r="16" s="5" customFormat="true" ht="12.75" hidden="false" customHeight="false" outlineLevel="0" collapsed="false">
      <c r="B16" s="43" t="s">
        <v>23</v>
      </c>
      <c r="C16" s="44"/>
      <c r="D16" s="44"/>
      <c r="E16" s="45" t="n">
        <v>1250000</v>
      </c>
      <c r="F16" s="2"/>
      <c r="G16" s="24"/>
      <c r="H16" s="46"/>
      <c r="I16" s="24"/>
    </row>
    <row r="17" s="5" customFormat="true" ht="12.75" hidden="false" customHeight="false" outlineLevel="0" collapsed="false">
      <c r="B17" s="43"/>
      <c r="C17" s="44"/>
      <c r="D17" s="44"/>
      <c r="E17" s="45"/>
      <c r="F17" s="2"/>
      <c r="G17" s="24"/>
      <c r="H17" s="46"/>
      <c r="I17" s="24"/>
    </row>
    <row r="19" customFormat="false" ht="12.75" hidden="false" customHeight="false" outlineLevel="0" collapsed="false">
      <c r="B19" s="4" t="s">
        <v>24</v>
      </c>
    </row>
    <row r="20" customFormat="false" ht="12.75" hidden="false" customHeight="false" outlineLevel="0" collapsed="false">
      <c r="B20" s="5"/>
    </row>
    <row r="21" s="6" customFormat="true" ht="23.85" hidden="false" customHeight="false" outlineLevel="0" collapsed="false">
      <c r="B21" s="7" t="s">
        <v>1</v>
      </c>
      <c r="C21" s="8" t="s">
        <v>2</v>
      </c>
      <c r="D21" s="8" t="s">
        <v>3</v>
      </c>
      <c r="E21" s="9" t="s">
        <v>4</v>
      </c>
      <c r="F21" s="10" t="s">
        <v>5</v>
      </c>
      <c r="G21" s="11" t="s">
        <v>6</v>
      </c>
      <c r="H21" s="12" t="s">
        <v>7</v>
      </c>
      <c r="I21" s="13" t="s">
        <v>8</v>
      </c>
      <c r="K21" s="14" t="s">
        <v>25</v>
      </c>
      <c r="L21" s="14" t="s">
        <v>2</v>
      </c>
    </row>
    <row r="22" customFormat="false" ht="12.75" hidden="false" customHeight="false" outlineLevel="0" collapsed="false">
      <c r="B22" s="15" t="s">
        <v>26</v>
      </c>
      <c r="C22" s="16" t="n">
        <v>2299959.76</v>
      </c>
      <c r="D22" s="17" t="n">
        <f aca="false">C22/$C$24</f>
        <v>1</v>
      </c>
      <c r="E22" s="18" t="n">
        <f aca="false">IF($C$24&gt;$E$27,($E$27*D22),C22)</f>
        <v>1250000</v>
      </c>
      <c r="F22" s="23" t="n">
        <v>0.12</v>
      </c>
      <c r="G22" s="18" t="n">
        <f aca="false">IF(C24&gt;1250000,(C22-E22),0)</f>
        <v>1049959.76</v>
      </c>
      <c r="H22" s="19" t="n">
        <f aca="false">F22*1.1</f>
        <v>0.132</v>
      </c>
      <c r="I22" s="20" t="n">
        <f aca="false">(E22*F22)+(G22*H22)</f>
        <v>288594.68832</v>
      </c>
      <c r="K22" s="21" t="s">
        <v>11</v>
      </c>
      <c r="L22" s="22" t="n">
        <f aca="false">I26</f>
        <v>288594.68832</v>
      </c>
    </row>
    <row r="23" customFormat="false" ht="12.75" hidden="false" customHeight="false" outlineLevel="0" collapsed="false">
      <c r="B23" s="15" t="s">
        <v>16</v>
      </c>
      <c r="C23" s="16" t="n">
        <v>0</v>
      </c>
      <c r="D23" s="17" t="n">
        <f aca="false">C23/$C$24</f>
        <v>0</v>
      </c>
      <c r="E23" s="18" t="n">
        <f aca="false">IF($C$24&gt;$E$27,($E$27*D23),C23)</f>
        <v>0</v>
      </c>
      <c r="F23" s="23" t="n">
        <v>0.32</v>
      </c>
      <c r="G23" s="18" t="n">
        <f aca="false">IF(C24&gt;1250000,(C23-E23),0)</f>
        <v>0</v>
      </c>
      <c r="H23" s="19" t="n">
        <f aca="false">F23*1.1</f>
        <v>0.352</v>
      </c>
      <c r="I23" s="20" t="n">
        <f aca="false">(E23*F23)+(G23*H23)</f>
        <v>0</v>
      </c>
      <c r="K23" s="1" t="s">
        <v>27</v>
      </c>
      <c r="L23" s="2" t="n">
        <f aca="false">L22*9%</f>
        <v>25973.5219488</v>
      </c>
    </row>
    <row r="24" s="5" customFormat="true" ht="12.75" hidden="false" customHeight="false" outlineLevel="0" collapsed="false">
      <c r="B24" s="25" t="s">
        <v>18</v>
      </c>
      <c r="C24" s="26" t="n">
        <f aca="false">SUM(C22:C23)</f>
        <v>2299959.76</v>
      </c>
      <c r="D24" s="27" t="n">
        <f aca="false">SUM(D22:D23)</f>
        <v>1</v>
      </c>
      <c r="E24" s="26" t="n">
        <f aca="false">SUM(E22:E23)</f>
        <v>1250000</v>
      </c>
      <c r="F24" s="28"/>
      <c r="G24" s="29" t="n">
        <f aca="false">SUM(G22:G23)</f>
        <v>1049959.76</v>
      </c>
      <c r="H24" s="30"/>
      <c r="I24" s="31"/>
      <c r="K24" s="5" t="s">
        <v>28</v>
      </c>
      <c r="L24" s="32" t="n">
        <v>0</v>
      </c>
    </row>
    <row r="25" customFormat="false" ht="12.75" hidden="false" customHeight="false" outlineLevel="0" collapsed="false">
      <c r="B25" s="33" t="s">
        <v>20</v>
      </c>
      <c r="C25" s="34" t="n">
        <v>0</v>
      </c>
      <c r="D25" s="28"/>
      <c r="E25" s="28"/>
      <c r="F25" s="28"/>
      <c r="G25" s="28"/>
      <c r="H25" s="35"/>
      <c r="I25" s="36" t="n">
        <f aca="false">C25</f>
        <v>0</v>
      </c>
      <c r="K25" s="37" t="s">
        <v>29</v>
      </c>
      <c r="L25" s="47" t="n">
        <f aca="false">L23-L24</f>
        <v>25973.5219488</v>
      </c>
    </row>
    <row r="26" s="5" customFormat="true" ht="12.75" hidden="false" customHeight="false" outlineLevel="0" collapsed="false">
      <c r="B26" s="39"/>
      <c r="C26" s="40"/>
      <c r="D26" s="40"/>
      <c r="E26" s="41"/>
      <c r="F26" s="41"/>
      <c r="G26" s="40"/>
      <c r="H26" s="42" t="s">
        <v>22</v>
      </c>
      <c r="I26" s="40" t="n">
        <f aca="false">SUM(I22:I25)</f>
        <v>288594.68832</v>
      </c>
      <c r="K26" s="39"/>
      <c r="L26" s="40"/>
    </row>
    <row r="27" s="5" customFormat="true" ht="12.75" hidden="false" customHeight="false" outlineLevel="0" collapsed="false">
      <c r="B27" s="43" t="s">
        <v>23</v>
      </c>
      <c r="C27" s="44"/>
      <c r="D27" s="44"/>
      <c r="E27" s="45" t="n">
        <v>1250000</v>
      </c>
      <c r="F27" s="2"/>
      <c r="G27" s="24"/>
      <c r="H27" s="46"/>
      <c r="I27" s="24"/>
      <c r="K27" s="37"/>
      <c r="L27" s="3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CC"/>
    <pageSetUpPr fitToPage="false"/>
  </sheetPr>
  <dimension ref="B2:L30"/>
  <sheetViews>
    <sheetView showFormulas="false" showGridLines="false" showRowColHeaders="true" showZeros="true" rightToLeft="false" tabSelected="true" showOutlineSymbols="true" defaultGridColor="true" view="normal" topLeftCell="E7" colorId="64" zoomScale="120" zoomScaleNormal="120" zoomScalePageLayoutView="100" workbookViewId="0">
      <selection pane="topLeft" activeCell="L13" activeCellId="0" sqref="L13"/>
    </sheetView>
  </sheetViews>
  <sheetFormatPr defaultColWidth="8.6875" defaultRowHeight="12.75" customHeight="false" zeroHeight="false" outlineLevelRow="0" outlineLevelCol="0"/>
  <cols>
    <col collapsed="false" customWidth="true" hidden="false" outlineLevel="0" max="1" min="1" style="1" width="1.14"/>
    <col collapsed="false" customWidth="true" hidden="false" outlineLevel="0" max="2" min="2" style="1" width="34.71"/>
    <col collapsed="false" customWidth="true" hidden="false" outlineLevel="0" max="3" min="3" style="1" width="14.15"/>
    <col collapsed="false" customWidth="true" hidden="false" outlineLevel="0" max="4" min="4" style="1" width="11.14"/>
    <col collapsed="false" customWidth="true" hidden="false" outlineLevel="0" max="5" min="5" style="2" width="13.7"/>
    <col collapsed="false" customWidth="true" hidden="false" outlineLevel="0" max="6" min="6" style="2" width="11.43"/>
    <col collapsed="false" customWidth="true" hidden="false" outlineLevel="0" max="7" min="7" style="1" width="14.15"/>
    <col collapsed="false" customWidth="true" hidden="false" outlineLevel="0" max="8" min="8" style="1" width="14.57"/>
    <col collapsed="false" customWidth="true" hidden="false" outlineLevel="0" max="9" min="9" style="1" width="16.14"/>
    <col collapsed="false" customWidth="true" hidden="false" outlineLevel="0" max="10" min="10" style="1" width="2.71"/>
    <col collapsed="false" customWidth="true" hidden="false" outlineLevel="0" max="11" min="11" style="1" width="25.42"/>
    <col collapsed="false" customWidth="true" hidden="false" outlineLevel="0" max="12" min="12" style="1" width="11.71"/>
  </cols>
  <sheetData>
    <row r="2" customFormat="false" ht="12.75" hidden="false" customHeight="false" outlineLevel="0" collapsed="false">
      <c r="C2" s="3" t="s">
        <v>30</v>
      </c>
    </row>
    <row r="3" customFormat="false" ht="12.75" hidden="false" customHeight="false" outlineLevel="0" collapsed="false">
      <c r="E3" s="3"/>
    </row>
    <row r="6" customFormat="false" ht="12.75" hidden="false" customHeight="false" outlineLevel="0" collapsed="false">
      <c r="B6" s="5" t="s">
        <v>0</v>
      </c>
    </row>
    <row r="7" customFormat="false" ht="12.75" hidden="false" customHeight="false" outlineLevel="0" collapsed="false">
      <c r="B7" s="5"/>
    </row>
    <row r="8" customFormat="false" ht="12.75" hidden="false" customHeight="false" outlineLevel="0" collapsed="false">
      <c r="B8" s="5" t="s">
        <v>31</v>
      </c>
    </row>
    <row r="9" s="6" customFormat="true" ht="23.85" hidden="false" customHeight="false" outlineLevel="0" collapsed="false">
      <c r="B9" s="7" t="s">
        <v>1</v>
      </c>
      <c r="C9" s="8" t="s">
        <v>2</v>
      </c>
      <c r="D9" s="8" t="s">
        <v>3</v>
      </c>
      <c r="E9" s="9" t="s">
        <v>4</v>
      </c>
      <c r="F9" s="10" t="s">
        <v>5</v>
      </c>
      <c r="G9" s="11" t="s">
        <v>6</v>
      </c>
      <c r="H9" s="12" t="s">
        <v>7</v>
      </c>
      <c r="I9" s="13" t="s">
        <v>8</v>
      </c>
      <c r="K9" s="14" t="s">
        <v>9</v>
      </c>
      <c r="L9" s="14" t="s">
        <v>2</v>
      </c>
    </row>
    <row r="10" customFormat="false" ht="12.75" hidden="false" customHeight="false" outlineLevel="0" collapsed="false">
      <c r="B10" s="15" t="s">
        <v>10</v>
      </c>
      <c r="C10" s="16"/>
      <c r="D10" s="17" t="n">
        <f aca="false">C10/$C$14</f>
        <v>0</v>
      </c>
      <c r="E10" s="18" t="n">
        <f aca="false">IF($C$14&gt;$E$17,($E$17*D10),C10)</f>
        <v>0</v>
      </c>
      <c r="F10" s="19" t="n">
        <v>0.016</v>
      </c>
      <c r="G10" s="18" t="n">
        <f aca="false">IF(C14&gt;1250000,(C10-E10),0)</f>
        <v>0</v>
      </c>
      <c r="H10" s="19" t="n">
        <f aca="false">F10*1.1</f>
        <v>0.0176</v>
      </c>
      <c r="I10" s="20" t="n">
        <f aca="false">(E10*F10)+(G10*H10)</f>
        <v>0</v>
      </c>
      <c r="K10" s="21" t="s">
        <v>11</v>
      </c>
      <c r="L10" s="22" t="n">
        <f aca="false">I16</f>
        <v>275214.032520654</v>
      </c>
    </row>
    <row r="11" customFormat="false" ht="12.75" hidden="false" customHeight="false" outlineLevel="0" collapsed="false">
      <c r="B11" s="15" t="s">
        <v>12</v>
      </c>
      <c r="C11" s="16" t="n">
        <f aca="false">826527.37+670907.65+899127.35</f>
        <v>2396562.37</v>
      </c>
      <c r="D11" s="17" t="n">
        <f aca="false">C11/$C$14</f>
        <v>0.999729185355133</v>
      </c>
      <c r="E11" s="18" t="n">
        <f aca="false">IF($C$14&gt;$E$17,($E$17*D11),C11)</f>
        <v>1249661.48169392</v>
      </c>
      <c r="F11" s="23" t="n">
        <v>0.08</v>
      </c>
      <c r="G11" s="18" t="n">
        <f aca="false">IF(C14&gt;1250000,(C11-E11),0)</f>
        <v>1146900.88830608</v>
      </c>
      <c r="H11" s="19" t="n">
        <f aca="false">F11*1.1</f>
        <v>0.088</v>
      </c>
      <c r="I11" s="20" t="n">
        <f aca="false">(E11*F11)+(G11*H11)</f>
        <v>200900.196706449</v>
      </c>
      <c r="K11" s="1" t="s">
        <v>13</v>
      </c>
      <c r="L11" s="2" t="n">
        <f aca="false">L10*15%</f>
        <v>41282.1048780981</v>
      </c>
    </row>
    <row r="12" customFormat="false" ht="12.75" hidden="false" customHeight="false" outlineLevel="0" collapsed="false">
      <c r="B12" s="15" t="s">
        <v>14</v>
      </c>
      <c r="C12" s="16"/>
      <c r="D12" s="17" t="n">
        <f aca="false">C12/$C$14</f>
        <v>0</v>
      </c>
      <c r="E12" s="18" t="n">
        <f aca="false">IF($C$14&gt;$E$17,($E$17*D12),C12)</f>
        <v>0</v>
      </c>
      <c r="F12" s="23" t="n">
        <v>0.16</v>
      </c>
      <c r="G12" s="18" t="n">
        <f aca="false">IF(C14&gt;1250000,(C12-E12),0)</f>
        <v>0</v>
      </c>
      <c r="H12" s="19" t="n">
        <f aca="false">F12*1.1</f>
        <v>0.176</v>
      </c>
      <c r="I12" s="20" t="n">
        <f aca="false">(E12*F12)+(G12*H12)</f>
        <v>0</v>
      </c>
      <c r="K12" s="1" t="s">
        <v>15</v>
      </c>
      <c r="L12" s="2" t="n">
        <f aca="false">IF(L10&gt;60000,((L10-60000)*10%),0)</f>
        <v>21521.4032520654</v>
      </c>
    </row>
    <row r="13" customFormat="false" ht="12.75" hidden="false" customHeight="false" outlineLevel="0" collapsed="false">
      <c r="B13" s="15" t="s">
        <v>16</v>
      </c>
      <c r="C13" s="16" t="n">
        <f aca="false">649.2</f>
        <v>649.2</v>
      </c>
      <c r="D13" s="17" t="n">
        <f aca="false">C13/$C$14</f>
        <v>0.000270814644866744</v>
      </c>
      <c r="E13" s="18" t="n">
        <f aca="false">IF($C$14&gt;$E$17,($E$17*D13),C13)</f>
        <v>338.51830608343</v>
      </c>
      <c r="F13" s="23" t="n">
        <v>0.32</v>
      </c>
      <c r="G13" s="18" t="n">
        <f aca="false">IF(C14&gt;1250000,(C13-E13),0)</f>
        <v>310.68169391657</v>
      </c>
      <c r="H13" s="19" t="n">
        <f aca="false">F13*1.1</f>
        <v>0.352</v>
      </c>
      <c r="I13" s="20" t="n">
        <f aca="false">(E13*F13)+(G13*H13)</f>
        <v>217.68581420533</v>
      </c>
      <c r="K13" s="5" t="s">
        <v>17</v>
      </c>
      <c r="L13" s="24" t="n">
        <f aca="false">L11+L12</f>
        <v>62803.5081301635</v>
      </c>
    </row>
    <row r="14" s="5" customFormat="true" ht="12.75" hidden="false" customHeight="false" outlineLevel="0" collapsed="false">
      <c r="B14" s="25" t="s">
        <v>18</v>
      </c>
      <c r="C14" s="26" t="n">
        <f aca="false">SUM(C10:C13)</f>
        <v>2397211.57</v>
      </c>
      <c r="D14" s="27" t="n">
        <f aca="false">SUM(D10:D13)</f>
        <v>1</v>
      </c>
      <c r="E14" s="26" t="n">
        <f aca="false">SUM(E10:E13)</f>
        <v>1250000</v>
      </c>
      <c r="F14" s="28"/>
      <c r="G14" s="29" t="n">
        <f aca="false">SUM(G10:G13)</f>
        <v>1147211.57</v>
      </c>
      <c r="H14" s="30"/>
      <c r="I14" s="31"/>
      <c r="L14" s="38" t="n">
        <v>21521.4</v>
      </c>
    </row>
    <row r="15" customFormat="false" ht="12.75" hidden="false" customHeight="false" outlineLevel="0" collapsed="false">
      <c r="B15" s="33" t="s">
        <v>20</v>
      </c>
      <c r="C15" s="34" t="n">
        <f aca="false">54226.08+19870.07</f>
        <v>74096.15</v>
      </c>
      <c r="D15" s="28"/>
      <c r="E15" s="28"/>
      <c r="F15" s="28"/>
      <c r="G15" s="28"/>
      <c r="H15" s="35"/>
      <c r="I15" s="36" t="n">
        <f aca="false">C15</f>
        <v>74096.15</v>
      </c>
      <c r="K15" s="37"/>
      <c r="L15" s="38" t="n">
        <v>41282.1</v>
      </c>
    </row>
    <row r="16" s="5" customFormat="true" ht="12.75" hidden="false" customHeight="false" outlineLevel="0" collapsed="false">
      <c r="B16" s="39"/>
      <c r="C16" s="40"/>
      <c r="D16" s="40"/>
      <c r="E16" s="41"/>
      <c r="F16" s="41"/>
      <c r="G16" s="40"/>
      <c r="H16" s="42" t="s">
        <v>22</v>
      </c>
      <c r="I16" s="40" t="n">
        <f aca="false">SUM(I10:I15)</f>
        <v>275214.032520654</v>
      </c>
      <c r="K16" s="39"/>
      <c r="L16" s="40" t="n">
        <f aca="false">SUM(L14:L15)</f>
        <v>62803.5</v>
      </c>
    </row>
    <row r="17" s="5" customFormat="true" ht="12.75" hidden="false" customHeight="false" outlineLevel="0" collapsed="false">
      <c r="B17" s="43" t="s">
        <v>23</v>
      </c>
      <c r="C17" s="44"/>
      <c r="D17" s="44"/>
      <c r="E17" s="45" t="n">
        <v>1250000</v>
      </c>
      <c r="F17" s="2"/>
      <c r="G17" s="24"/>
      <c r="H17" s="46"/>
      <c r="I17" s="24"/>
    </row>
    <row r="18" s="37" customFormat="true" ht="12.75" hidden="false" customHeight="false" outlineLevel="0" collapsed="false">
      <c r="B18" s="43" t="s">
        <v>32</v>
      </c>
      <c r="C18" s="45"/>
      <c r="D18" s="45"/>
      <c r="E18" s="45" t="n">
        <f aca="false">IF(C14&lt;1250000,(1250000-C14),0)</f>
        <v>0</v>
      </c>
      <c r="F18" s="47"/>
      <c r="G18" s="47"/>
      <c r="H18" s="48"/>
      <c r="I18" s="47"/>
    </row>
    <row r="20" customFormat="false" ht="12.75" hidden="false" customHeight="false" outlineLevel="0" collapsed="false">
      <c r="B20" s="5" t="s">
        <v>33</v>
      </c>
    </row>
    <row r="21" s="6" customFormat="true" ht="23.85" hidden="false" customHeight="false" outlineLevel="0" collapsed="false">
      <c r="B21" s="7" t="s">
        <v>1</v>
      </c>
      <c r="C21" s="8" t="s">
        <v>2</v>
      </c>
      <c r="D21" s="8" t="s">
        <v>3</v>
      </c>
      <c r="E21" s="9" t="s">
        <v>4</v>
      </c>
      <c r="F21" s="10" t="s">
        <v>5</v>
      </c>
      <c r="G21" s="11" t="s">
        <v>6</v>
      </c>
      <c r="H21" s="12" t="s">
        <v>7</v>
      </c>
      <c r="I21" s="13" t="s">
        <v>8</v>
      </c>
      <c r="K21" s="14" t="s">
        <v>9</v>
      </c>
      <c r="L21" s="14" t="s">
        <v>2</v>
      </c>
    </row>
    <row r="22" customFormat="false" ht="12.75" hidden="false" customHeight="false" outlineLevel="0" collapsed="false">
      <c r="B22" s="15" t="s">
        <v>10</v>
      </c>
      <c r="C22" s="16"/>
      <c r="D22" s="17" t="n">
        <f aca="false">C22/$C$26</f>
        <v>0</v>
      </c>
      <c r="E22" s="18" t="n">
        <f aca="false">IF($C$26&gt;$E$29,($E$29*D22),C22)</f>
        <v>0</v>
      </c>
      <c r="F22" s="19" t="n">
        <v>0.016</v>
      </c>
      <c r="G22" s="18" t="n">
        <f aca="false">IF(C26&gt;1250000,(C22-E22),0)</f>
        <v>0</v>
      </c>
      <c r="H22" s="19" t="n">
        <f aca="false">F22*1.1</f>
        <v>0.0176</v>
      </c>
      <c r="I22" s="20" t="n">
        <f aca="false">(E22*F22)+(G22*H22)</f>
        <v>0</v>
      </c>
      <c r="K22" s="21" t="s">
        <v>11</v>
      </c>
      <c r="L22" s="22" t="n">
        <f aca="false">I28</f>
        <v>664000</v>
      </c>
    </row>
    <row r="23" customFormat="false" ht="12.75" hidden="false" customHeight="false" outlineLevel="0" collapsed="false">
      <c r="B23" s="15" t="s">
        <v>12</v>
      </c>
      <c r="C23" s="16"/>
      <c r="D23" s="17" t="n">
        <f aca="false">C23/$C$26</f>
        <v>0</v>
      </c>
      <c r="E23" s="18" t="n">
        <f aca="false">IF($C$26&gt;$E$29,($E$29*D23),C23)</f>
        <v>0</v>
      </c>
      <c r="F23" s="23" t="n">
        <v>0.08</v>
      </c>
      <c r="G23" s="18" t="n">
        <f aca="false">IF(C26&gt;1250000,(C23-E23),0)</f>
        <v>0</v>
      </c>
      <c r="H23" s="19" t="n">
        <f aca="false">F23*1.1</f>
        <v>0.088</v>
      </c>
      <c r="I23" s="20" t="n">
        <f aca="false">(E23*F23)+(G23*H23)</f>
        <v>0</v>
      </c>
      <c r="K23" s="1" t="s">
        <v>13</v>
      </c>
      <c r="L23" s="2" t="n">
        <f aca="false">L22*15%</f>
        <v>99600</v>
      </c>
    </row>
    <row r="24" customFormat="false" ht="12.75" hidden="false" customHeight="false" outlineLevel="0" collapsed="false">
      <c r="B24" s="15" t="s">
        <v>14</v>
      </c>
      <c r="C24" s="16"/>
      <c r="D24" s="17" t="n">
        <f aca="false">C24/$C$26</f>
        <v>0</v>
      </c>
      <c r="E24" s="18" t="n">
        <f aca="false">IF($C$26&gt;$E$29,($E$29*D24),C24)</f>
        <v>0</v>
      </c>
      <c r="F24" s="23" t="n">
        <v>0.16</v>
      </c>
      <c r="G24" s="18" t="n">
        <f aca="false">IF(C26&gt;1250000,(C24-E24),0)</f>
        <v>0</v>
      </c>
      <c r="H24" s="19" t="n">
        <f aca="false">F24*1.1</f>
        <v>0.176</v>
      </c>
      <c r="I24" s="20" t="n">
        <f aca="false">(E24*F24)+(G24*H24)</f>
        <v>0</v>
      </c>
      <c r="K24" s="1" t="s">
        <v>15</v>
      </c>
      <c r="L24" s="2" t="n">
        <f aca="false">IF(L22&gt;60000,((L22-60000)*10%),0)</f>
        <v>60400</v>
      </c>
    </row>
    <row r="25" customFormat="false" ht="12.75" hidden="false" customHeight="false" outlineLevel="0" collapsed="false">
      <c r="B25" s="15" t="s">
        <v>16</v>
      </c>
      <c r="C25" s="16" t="n">
        <v>2000000</v>
      </c>
      <c r="D25" s="17" t="n">
        <f aca="false">C25/$C$26</f>
        <v>1</v>
      </c>
      <c r="E25" s="18" t="n">
        <f aca="false">IF($C$26&gt;$E$29,($E$29*D25),C25)</f>
        <v>1250000</v>
      </c>
      <c r="F25" s="23" t="n">
        <v>0.32</v>
      </c>
      <c r="G25" s="18" t="n">
        <f aca="false">IF(C26&gt;1250000,(C25-E25),0)</f>
        <v>750000</v>
      </c>
      <c r="H25" s="19" t="n">
        <f aca="false">F25*1.1</f>
        <v>0.352</v>
      </c>
      <c r="I25" s="20" t="n">
        <f aca="false">(E25*F25)+(G25*H25)</f>
        <v>664000</v>
      </c>
      <c r="K25" s="5" t="s">
        <v>17</v>
      </c>
      <c r="L25" s="24" t="n">
        <f aca="false">L23+L24</f>
        <v>160000</v>
      </c>
    </row>
    <row r="26" s="5" customFormat="true" ht="12.75" hidden="false" customHeight="false" outlineLevel="0" collapsed="false">
      <c r="B26" s="25" t="s">
        <v>18</v>
      </c>
      <c r="C26" s="26" t="n">
        <f aca="false">SUM(C22:C25)</f>
        <v>2000000</v>
      </c>
      <c r="D26" s="27" t="n">
        <f aca="false">SUM(D22:D25)</f>
        <v>1</v>
      </c>
      <c r="E26" s="26" t="n">
        <f aca="false">SUM(E22:E25)</f>
        <v>1250000</v>
      </c>
      <c r="F26" s="28"/>
      <c r="G26" s="29" t="n">
        <f aca="false">SUM(G22:G25)</f>
        <v>750000</v>
      </c>
      <c r="H26" s="30"/>
      <c r="I26" s="31"/>
      <c r="L26" s="38"/>
    </row>
    <row r="27" customFormat="false" ht="12.75" hidden="false" customHeight="false" outlineLevel="0" collapsed="false">
      <c r="B27" s="33" t="s">
        <v>20</v>
      </c>
      <c r="C27" s="34"/>
      <c r="D27" s="28"/>
      <c r="E27" s="28"/>
      <c r="F27" s="28"/>
      <c r="G27" s="28"/>
      <c r="H27" s="35"/>
      <c r="I27" s="36" t="n">
        <f aca="false">C27</f>
        <v>0</v>
      </c>
      <c r="K27" s="37"/>
      <c r="L27" s="38"/>
    </row>
    <row r="28" s="5" customFormat="true" ht="12.75" hidden="false" customHeight="false" outlineLevel="0" collapsed="false">
      <c r="B28" s="39"/>
      <c r="C28" s="40"/>
      <c r="D28" s="40"/>
      <c r="E28" s="41"/>
      <c r="F28" s="41"/>
      <c r="G28" s="40"/>
      <c r="H28" s="42" t="s">
        <v>22</v>
      </c>
      <c r="I28" s="40" t="n">
        <f aca="false">SUM(I22:I27)</f>
        <v>664000</v>
      </c>
      <c r="K28" s="39"/>
      <c r="L28" s="40"/>
    </row>
    <row r="29" s="5" customFormat="true" ht="12.75" hidden="false" customHeight="false" outlineLevel="0" collapsed="false">
      <c r="B29" s="43" t="s">
        <v>23</v>
      </c>
      <c r="C29" s="44"/>
      <c r="D29" s="44"/>
      <c r="E29" s="45" t="n">
        <f aca="false">IF(E18&gt;0,1250000+E18,1250000)</f>
        <v>1250000</v>
      </c>
      <c r="F29" s="2"/>
      <c r="G29" s="24"/>
      <c r="H29" s="46"/>
      <c r="I29" s="24"/>
    </row>
    <row r="30" s="37" customFormat="true" ht="12.75" hidden="false" customHeight="false" outlineLevel="0" collapsed="false">
      <c r="B30" s="43" t="s">
        <v>32</v>
      </c>
      <c r="C30" s="45"/>
      <c r="D30" s="45"/>
      <c r="E30" s="45" t="n">
        <f aca="false">IF(C26&lt;1250000,(1250000-C26),0)</f>
        <v>0</v>
      </c>
      <c r="F30" s="47"/>
      <c r="G30" s="47"/>
      <c r="H30" s="48"/>
      <c r="I30" s="47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2017-05-10T22:46:47Z</dcterms:created>
  <dc:creator>Francelio Cavalcante</dc:creator>
  <dc:description/>
  <dc:language>pt-BR</dc:language>
  <cp:lastModifiedBy/>
  <cp:lastPrinted>2018-08-13T22:17:09Z</cp:lastPrinted>
  <dcterms:modified xsi:type="dcterms:W3CDTF">2026-04-23T17:34:01Z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